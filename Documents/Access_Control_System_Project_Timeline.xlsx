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mrmohamed/Desktop/GRADUATION PROJECT/"/>
    </mc:Choice>
  </mc:AlternateContent>
  <xr:revisionPtr revIDLastSave="0" documentId="8_{35418117-086A-CF4D-A374-58321D3ADABD}" xr6:coauthVersionLast="47" xr6:coauthVersionMax="47" xr10:uidLastSave="{00000000-0000-0000-0000-000000000000}"/>
  <bookViews>
    <workbookView xWindow="0" yWindow="13900" windowWidth="51200" windowHeight="13300" tabRatio="500" xr2:uid="{00000000-000D-0000-FFFF-FFFF00000000}"/>
  </bookViews>
  <sheets>
    <sheet name="Legend &amp; Setup" sheetId="1" r:id="rId1"/>
    <sheet name="Project Timeline" sheetId="2" r:id="rId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0" i="2" l="1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</calcChain>
</file>

<file path=xl/sharedStrings.xml><?xml version="1.0" encoding="utf-8"?>
<sst xmlns="http://schemas.openxmlformats.org/spreadsheetml/2006/main" count="440" uniqueCount="196">
  <si>
    <t>Project Start Date (edit this cell)</t>
  </si>
  <si>
    <t>Role color legend</t>
  </si>
  <si>
    <t>Phase 0 - Proposal &amp; Planning</t>
  </si>
  <si>
    <t>Phase 1 - System Design</t>
  </si>
  <si>
    <t>Phase 2 - Single Door-Node Prototype</t>
  </si>
  <si>
    <t>Phase 3 - Backend &amp; Database</t>
  </si>
  <si>
    <t>Phase 4 - Dashboard</t>
  </si>
  <si>
    <t>Phase 5 - Security &amp; Fail-Safe</t>
  </si>
  <si>
    <t>Phase 6 - Multi-Node Scaling</t>
  </si>
  <si>
    <t>Phase 7 - Full System Testing</t>
  </si>
  <si>
    <t>Phase 8 - Documentation</t>
  </si>
  <si>
    <t>Phase 9 - Presentation &amp; Defense Prep</t>
  </si>
  <si>
    <t>Roles</t>
  </si>
  <si>
    <t>Whole Team (PM)</t>
  </si>
  <si>
    <t>Embedded/Firmware</t>
  </si>
  <si>
    <t>Hardware/Circuit</t>
  </si>
  <si>
    <t>Backend/Database</t>
  </si>
  <si>
    <t>Frontend/Dashboard</t>
  </si>
  <si>
    <t>Network/Security</t>
  </si>
  <si>
    <t>QA/Documentation</t>
  </si>
  <si>
    <t>Phase</t>
  </si>
  <si>
    <t>ID</t>
  </si>
  <si>
    <t>Task</t>
  </si>
  <si>
    <t>Owner</t>
  </si>
  <si>
    <t>Start Wk</t>
  </si>
  <si>
    <t>End Wk</t>
  </si>
  <si>
    <t>Duration (wk)</t>
  </si>
  <si>
    <t>Start Date</t>
  </si>
  <si>
    <t>End Date</t>
  </si>
  <si>
    <t>Dependencies</t>
  </si>
  <si>
    <t>Status</t>
  </si>
  <si>
    <t>P0.1</t>
  </si>
  <si>
    <t>Finalize architecture decisions (credential type, network topology, fail-safe/fail-secure)</t>
  </si>
  <si>
    <t>Not Started</t>
  </si>
  <si>
    <t>P0.2</t>
  </si>
  <si>
    <t>Research related/competitor systems (Genetec, Salto, HID)</t>
  </si>
  <si>
    <t>P0.3</t>
  </si>
  <si>
    <t>Revise proposal document (architecture, stack, security, risk, budget)</t>
  </si>
  <si>
    <t>P0.4</t>
  </si>
  <si>
    <t>Draft budget &amp; bill of materials (BOM)</t>
  </si>
  <si>
    <t>P0.5</t>
  </si>
  <si>
    <t>Draft risk &amp; mitigation section</t>
  </si>
  <si>
    <t>P0.6</t>
  </si>
  <si>
    <t>Assign roles &amp; build project timeline</t>
  </si>
  <si>
    <t>P0.7</t>
  </si>
  <si>
    <t>Supervisor review &amp; proposal sign-off</t>
  </si>
  <si>
    <t>P0.8</t>
  </si>
  <si>
    <t>Order hardware components</t>
  </si>
  <si>
    <t>P0.4,P0.7</t>
  </si>
  <si>
    <t>P1.1</t>
  </si>
  <si>
    <t>Draw system block diagram (3-layer architecture)</t>
  </si>
  <si>
    <t>P1.2</t>
  </si>
  <si>
    <t>Design door-node circuit schematic</t>
  </si>
  <si>
    <t>P1.3</t>
  </si>
  <si>
    <t>Simulate circuit in Proteus/Multisim before build</t>
  </si>
  <si>
    <t>P1.4</t>
  </si>
  <si>
    <t>Define DB schema (users, credentials, doors, schedules, logs)</t>
  </si>
  <si>
    <t>P1.5</t>
  </si>
  <si>
    <t>Define REST API spec</t>
  </si>
  <si>
    <t>P1.6</t>
  </si>
  <si>
    <t>Define MQTT topics / RS-485 message format</t>
  </si>
  <si>
    <t>P1.7</t>
  </si>
  <si>
    <t>Define firmware state machine for door node</t>
  </si>
  <si>
    <t>P1.8</t>
  </si>
  <si>
    <t>Write security design doc (encryption, credential storage, tamper detection)</t>
  </si>
  <si>
    <t>P1.9</t>
  </si>
  <si>
    <t>Design dashboard wireframes/UI mockups</t>
  </si>
  <si>
    <t>P1.10</t>
  </si>
  <si>
    <t>Design review with supervisor</t>
  </si>
  <si>
    <t>P1.1,P1.2,P1.4,P1.7,P1.8,P1.9</t>
  </si>
  <si>
    <t>P2.1</t>
  </si>
  <si>
    <t>Assemble breadboard: card/biometric reader + MCU</t>
  </si>
  <si>
    <t>P1.10,P0.8</t>
  </si>
  <si>
    <t>P2.2</t>
  </si>
  <si>
    <t>Wire relay/lock actuator driver circuit</t>
  </si>
  <si>
    <t>P1.3,P0.8</t>
  </si>
  <si>
    <t>P2.3</t>
  </si>
  <si>
    <t>Wire door-state sensor (reed switch/Hall sensor)</t>
  </si>
  <si>
    <t>P2.4</t>
  </si>
  <si>
    <t>Firmware: credential reader input handling</t>
  </si>
  <si>
    <t>P2.5</t>
  </si>
  <si>
    <t>Firmware: lock actuation logic</t>
  </si>
  <si>
    <t>P2.2,P2.4</t>
  </si>
  <si>
    <t>P2.6</t>
  </si>
  <si>
    <t>Firmware: door-state polling &amp; debounce</t>
  </si>
  <si>
    <t>P2.3,P2.4</t>
  </si>
  <si>
    <t>P2.7</t>
  </si>
  <si>
    <t>Implement network client on node (Wi-Fi/MQTT or RS-485 driver)</t>
  </si>
  <si>
    <t>P1.6,P2.4</t>
  </si>
  <si>
    <t>P2.8</t>
  </si>
  <si>
    <t>Bench test lock actuation &amp; timing accuracy</t>
  </si>
  <si>
    <t>P2.9</t>
  </si>
  <si>
    <t>Validate power supply &amp; isolation circuit</t>
  </si>
  <si>
    <t>P2.10</t>
  </si>
  <si>
    <t>Integration test: single door node end-to-end</t>
  </si>
  <si>
    <t>P2.6,P2.7,P2.8,P2.9</t>
  </si>
  <si>
    <t>P3.1</t>
  </si>
  <si>
    <t>Set up repo, dev environment, CI basics</t>
  </si>
  <si>
    <t>P3.2</t>
  </si>
  <si>
    <t>Implement DB schema in chosen engine</t>
  </si>
  <si>
    <t>P3.1,P1.4</t>
  </si>
  <si>
    <t>P3.3</t>
  </si>
  <si>
    <t>Build authentication/authorization module</t>
  </si>
  <si>
    <t>P3.4</t>
  </si>
  <si>
    <t>Build credential management (issue/revoke)</t>
  </si>
  <si>
    <t>P3.5</t>
  </si>
  <si>
    <t>Build scheduling engine w/ mock registrar timetable import</t>
  </si>
  <si>
    <t>P3.6</t>
  </si>
  <si>
    <t>Build MQTT/HTTP listener for door-node events</t>
  </si>
  <si>
    <t>P2.7,P3.1</t>
  </si>
  <si>
    <t>P3.7</t>
  </si>
  <si>
    <t>Build audit-log service</t>
  </si>
  <si>
    <t>P3.8</t>
  </si>
  <si>
    <t>Unit test backend endpoints</t>
  </si>
  <si>
    <t>P3.3,P3.5,P3.6,P3.7</t>
  </si>
  <si>
    <t>P4.1</t>
  </si>
  <si>
    <t>Scaffold frontend project</t>
  </si>
  <si>
    <t>P4.2</t>
  </si>
  <si>
    <t>Build login/auth UI</t>
  </si>
  <si>
    <t>P4.1,P3.3</t>
  </si>
  <si>
    <t>P4.3</t>
  </si>
  <si>
    <t>Build real-time door-status view</t>
  </si>
  <si>
    <t>P4.2,P3.6</t>
  </si>
  <si>
    <t>P4.4</t>
  </si>
  <si>
    <t>Build manual override controls</t>
  </si>
  <si>
    <t>P4.5</t>
  </si>
  <si>
    <t>Build historical logs &amp; charts view</t>
  </si>
  <si>
    <t>P4.6</t>
  </si>
  <si>
    <t>Build alerts/notifications UI</t>
  </si>
  <si>
    <t>P4.7</t>
  </si>
  <si>
    <t>Integrate dashboard with backend API (full pipeline)</t>
  </si>
  <si>
    <t>P4.4,P4.5,P4.6,P3.8</t>
  </si>
  <si>
    <t>P5.1</t>
  </si>
  <si>
    <t>Implement credential encryption in transit &amp; at rest</t>
  </si>
  <si>
    <t>P1.8,P3.4</t>
  </si>
  <si>
    <t>P5.2</t>
  </si>
  <si>
    <t>Implement tamper-detection logic</t>
  </si>
  <si>
    <t>P2.6,P5.1</t>
  </si>
  <si>
    <t>P5.3</t>
  </si>
  <si>
    <t>Implement fail-safe/fail-secure power-loss behavior</t>
  </si>
  <si>
    <t>P2.9,P0.1</t>
  </si>
  <si>
    <t>P5.4</t>
  </si>
  <si>
    <t>Implement local fallback on network loss</t>
  </si>
  <si>
    <t>P2.7,P5.3</t>
  </si>
  <si>
    <t>P5.5</t>
  </si>
  <si>
    <t>Internal security review / basic penetration test</t>
  </si>
  <si>
    <t>P5.1,P5.2,P5.4</t>
  </si>
  <si>
    <t>P6.1</t>
  </si>
  <si>
    <t>Fabricate/assemble 3-4 additional door nodes</t>
  </si>
  <si>
    <t>P6.2</t>
  </si>
  <si>
    <t>Deploy nodes on shared network/backbone</t>
  </si>
  <si>
    <t>P6.3</t>
  </si>
  <si>
    <t>Load-test backend with concurrent nodes</t>
  </si>
  <si>
    <t>P6.2,P3.8</t>
  </si>
  <si>
    <t>P6.4</t>
  </si>
  <si>
    <t>Fix integration/scaling bugs</t>
  </si>
  <si>
    <t>P7.1</t>
  </si>
  <si>
    <t>Execute functional test plan (scheduled/override/logging modes)</t>
  </si>
  <si>
    <t>P6.4,P4.7</t>
  </si>
  <si>
    <t>P7.2</t>
  </si>
  <si>
    <t>Fail-safe validation test (simulate power/network loss)</t>
  </si>
  <si>
    <t>P5.3,P5.4</t>
  </si>
  <si>
    <t>P7.3</t>
  </si>
  <si>
    <t>Security test (cloning attempt, encryption verification)</t>
  </si>
  <si>
    <t>P7.4</t>
  </si>
  <si>
    <t>Dashboard load/performance test</t>
  </si>
  <si>
    <t>P7.5</t>
  </si>
  <si>
    <t>Bug fixing &amp; regression testing</t>
  </si>
  <si>
    <t>P7.1,P7.2,P7.3,P7.4</t>
  </si>
  <si>
    <t>P8.1</t>
  </si>
  <si>
    <t>Draft report: Introduction &amp; Problem Statement</t>
  </si>
  <si>
    <t>P8.2</t>
  </si>
  <si>
    <t>Draft report: System Architecture &amp; Design</t>
  </si>
  <si>
    <t>P8.3</t>
  </si>
  <si>
    <t>Draft report: Implementation chapters</t>
  </si>
  <si>
    <t>P8.4</t>
  </si>
  <si>
    <t>Draft report: Testing &amp; Evaluation results</t>
  </si>
  <si>
    <t>P8.5</t>
  </si>
  <si>
    <t>Write user/deployment manual</t>
  </si>
  <si>
    <t>P8.6</t>
  </si>
  <si>
    <t>Full report review &amp; editing</t>
  </si>
  <si>
    <t>P8.1,P8.2,P8.3,P8.4,P8.5</t>
  </si>
  <si>
    <t>P8.7</t>
  </si>
  <si>
    <t>Submit final report</t>
  </si>
  <si>
    <t>P9.1</t>
  </si>
  <si>
    <t>Build presentation slides</t>
  </si>
  <si>
    <t>P9.2</t>
  </si>
  <si>
    <t>Prepare live demo script &amp; backup plan</t>
  </si>
  <si>
    <t>P9.3</t>
  </si>
  <si>
    <t>Rehearse defense Q&amp;A</t>
  </si>
  <si>
    <t>P9.1,P9.2</t>
  </si>
  <si>
    <t>P9.4</t>
  </si>
  <si>
    <t>Final equipment check &amp; demo dry run</t>
  </si>
  <si>
    <t>P9.5</t>
  </si>
  <si>
    <t>Project defense</t>
  </si>
  <si>
    <t>P9.3,P9.4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</si>
</sst>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 d&quot;, &quot;yyyy"/>
  </numFmts>
  <fonts count="7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9E1F2"/>
        <bgColor rgb="FFCFE2F3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D9D9D9"/>
      </patternFill>
    </fill>
    <fill>
      <patternFill patternType="solid">
        <fgColor rgb="FFF4CCCC"/>
        <bgColor rgb="FFEAD1DC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FF2CC"/>
      </patternFill>
    </fill>
    <fill>
      <patternFill patternType="solid">
        <fgColor rgb="FFD0E0E3"/>
        <bgColor rgb="FFCFE2F3"/>
      </patternFill>
    </fill>
    <fill>
      <patternFill patternType="solid">
        <fgColor rgb="FFEAD1DC"/>
        <bgColor rgb="FFF4CCCC"/>
      </patternFill>
    </fill>
    <fill>
      <patternFill patternType="solid">
        <fgColor rgb="FF374151"/>
        <bgColor rgb="FF3333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12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165" fontId="6" fillId="0" borderId="1" xfId="0" applyNumberFormat="1" applyFont="1" applyBorder="1"/>
  </cellXfs>
  <cellStyles count="1">
    <cellStyle name="Normal" xfId="0" builtinId="0"/>
  </cellStyles>
  <dxfs count="10">
    <dxf>
      <fill>
        <patternFill>
          <bgColor rgb="FFEAD1DC"/>
        </patternFill>
      </fill>
    </dxf>
    <dxf>
      <fill>
        <patternFill>
          <bgColor rgb="FFD0E0E3"/>
        </patternFill>
      </fill>
    </dxf>
    <dxf>
      <fill>
        <patternFill>
          <bgColor rgb="FFFFE599"/>
        </patternFill>
      </fill>
    </dxf>
    <dxf>
      <fill>
        <patternFill>
          <bgColor rgb="FFCFE2F3"/>
        </patternFill>
      </fill>
    </dxf>
    <dxf>
      <fill>
        <patternFill>
          <bgColor rgb="FFF4CCCC"/>
        </patternFill>
      </fill>
    </dxf>
    <dxf>
      <fill>
        <patternFill>
          <bgColor rgb="FFD9D2E9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D9E1F2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E599"/>
      <rgbColor rgb="FFD0E0E3"/>
      <rgbColor rgb="FFEAD1DC"/>
      <rgbColor rgb="FFFCE4D6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86941D-C1AF-5945-AEAE-ADA80C067F6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429c031-6200-4015-ba6b-4042ed0eb49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4" zoomScale="186" zoomScaleNormal="100" workbookViewId="0">
      <selection activeCell="G10" sqref="G10"/>
    </sheetView>
  </sheetViews>
  <sheetFormatPr baseColWidth="10" defaultColWidth="8.6640625" defaultRowHeight="15" x14ac:dyDescent="0.2"/>
  <cols>
    <col min="1" max="1" width="36" customWidth="1"/>
    <col min="2" max="2" width="14" customWidth="1"/>
  </cols>
  <sheetData>
    <row r="1" spans="1:2" x14ac:dyDescent="0.2">
      <c r="A1" s="1" t="s">
        <v>0</v>
      </c>
      <c r="B1" s="2">
        <v>46223</v>
      </c>
    </row>
    <row r="3" spans="1:2" x14ac:dyDescent="0.2">
      <c r="A3" s="1" t="s">
        <v>1</v>
      </c>
    </row>
    <row r="4" spans="1:2" x14ac:dyDescent="0.2">
      <c r="A4" s="3" t="s">
        <v>2</v>
      </c>
      <c r="B4" s="4"/>
    </row>
    <row r="5" spans="1:2" x14ac:dyDescent="0.2">
      <c r="A5" s="3" t="s">
        <v>3</v>
      </c>
      <c r="B5" s="5"/>
    </row>
    <row r="6" spans="1:2" x14ac:dyDescent="0.2">
      <c r="A6" s="3" t="s">
        <v>4</v>
      </c>
      <c r="B6" s="6"/>
    </row>
    <row r="7" spans="1:2" x14ac:dyDescent="0.2">
      <c r="A7" s="3" t="s">
        <v>5</v>
      </c>
      <c r="B7" s="7"/>
    </row>
    <row r="8" spans="1:2" x14ac:dyDescent="0.2">
      <c r="A8" s="3" t="s">
        <v>6</v>
      </c>
      <c r="B8" s="8"/>
    </row>
    <row r="9" spans="1:2" x14ac:dyDescent="0.2">
      <c r="A9" s="3" t="s">
        <v>7</v>
      </c>
      <c r="B9" s="9"/>
    </row>
    <row r="10" spans="1:2" x14ac:dyDescent="0.2">
      <c r="A10" s="3" t="s">
        <v>8</v>
      </c>
      <c r="B10" s="10"/>
    </row>
    <row r="11" spans="1:2" x14ac:dyDescent="0.2">
      <c r="A11" s="3" t="s">
        <v>9</v>
      </c>
      <c r="B11" s="11"/>
    </row>
    <row r="12" spans="1:2" x14ac:dyDescent="0.2">
      <c r="A12" s="3" t="s">
        <v>10</v>
      </c>
      <c r="B12" s="12"/>
    </row>
    <row r="13" spans="1:2" x14ac:dyDescent="0.2">
      <c r="A13" s="3" t="s">
        <v>11</v>
      </c>
      <c r="B13" s="13"/>
    </row>
    <row r="16" spans="1:2" x14ac:dyDescent="0.2">
      <c r="A16" s="1" t="s">
        <v>12</v>
      </c>
    </row>
    <row r="17" spans="1:1" x14ac:dyDescent="0.2">
      <c r="A17" s="3" t="s">
        <v>13</v>
      </c>
    </row>
    <row r="18" spans="1:1" x14ac:dyDescent="0.2">
      <c r="A18" s="3" t="s">
        <v>14</v>
      </c>
    </row>
    <row r="19" spans="1:1" x14ac:dyDescent="0.2">
      <c r="A19" s="3" t="s">
        <v>15</v>
      </c>
    </row>
    <row r="20" spans="1:1" x14ac:dyDescent="0.2">
      <c r="A20" s="3" t="s">
        <v>16</v>
      </c>
    </row>
    <row r="21" spans="1:1" x14ac:dyDescent="0.2">
      <c r="A21" s="3" t="s">
        <v>17</v>
      </c>
    </row>
    <row r="22" spans="1:1" x14ac:dyDescent="0.2">
      <c r="A22" s="3" t="s">
        <v>18</v>
      </c>
    </row>
    <row r="23" spans="1:1" x14ac:dyDescent="0.2">
      <c r="A23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7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30" customWidth="1"/>
    <col min="2" max="2" width="7" customWidth="1"/>
    <col min="3" max="3" width="46" customWidth="1"/>
    <col min="4" max="4" width="20" customWidth="1"/>
    <col min="5" max="6" width="9" customWidth="1"/>
    <col min="7" max="7" width="11" customWidth="1"/>
    <col min="8" max="9" width="13" customWidth="1"/>
    <col min="10" max="10" width="20" customWidth="1"/>
    <col min="11" max="11" width="12" customWidth="1"/>
    <col min="12" max="45" width="3.1640625" customWidth="1"/>
  </cols>
  <sheetData>
    <row r="1" spans="1:45" ht="30" customHeight="1" x14ac:dyDescent="0.2">
      <c r="A1" s="14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5">
        <v>1</v>
      </c>
      <c r="M1" s="15">
        <v>2</v>
      </c>
      <c r="N1" s="15">
        <v>3</v>
      </c>
      <c r="O1" s="15">
        <v>4</v>
      </c>
      <c r="P1" s="15">
        <v>5</v>
      </c>
      <c r="Q1" s="15">
        <v>6</v>
      </c>
      <c r="R1" s="15">
        <v>7</v>
      </c>
      <c r="S1" s="15">
        <v>8</v>
      </c>
      <c r="T1" s="15">
        <v>9</v>
      </c>
      <c r="U1" s="15">
        <v>10</v>
      </c>
      <c r="V1" s="15">
        <v>11</v>
      </c>
      <c r="W1" s="15">
        <v>12</v>
      </c>
      <c r="X1" s="15">
        <v>13</v>
      </c>
      <c r="Y1" s="15">
        <v>14</v>
      </c>
      <c r="Z1" s="15">
        <v>15</v>
      </c>
      <c r="AA1" s="15">
        <v>16</v>
      </c>
      <c r="AB1" s="15">
        <v>17</v>
      </c>
      <c r="AC1" s="15">
        <v>18</v>
      </c>
      <c r="AD1" s="15">
        <v>19</v>
      </c>
      <c r="AE1" s="15">
        <v>20</v>
      </c>
      <c r="AF1" s="15">
        <v>21</v>
      </c>
      <c r="AG1" s="15">
        <v>22</v>
      </c>
      <c r="AH1" s="15">
        <v>23</v>
      </c>
      <c r="AI1" s="15">
        <v>24</v>
      </c>
      <c r="AJ1" s="15">
        <v>25</v>
      </c>
      <c r="AK1" s="15">
        <v>26</v>
      </c>
      <c r="AL1" s="15">
        <v>27</v>
      </c>
      <c r="AM1" s="15">
        <v>28</v>
      </c>
      <c r="AN1" s="15">
        <v>29</v>
      </c>
      <c r="AO1" s="15">
        <v>30</v>
      </c>
      <c r="AP1" s="15">
        <v>31</v>
      </c>
      <c r="AQ1" s="15">
        <v>32</v>
      </c>
      <c r="AR1" s="15">
        <v>33</v>
      </c>
      <c r="AS1" s="15">
        <v>34</v>
      </c>
    </row>
    <row r="2" spans="1:45" ht="26" x14ac:dyDescent="0.2">
      <c r="A2" s="16" t="s">
        <v>2</v>
      </c>
      <c r="B2" s="16" t="s">
        <v>31</v>
      </c>
      <c r="C2" s="17" t="s">
        <v>32</v>
      </c>
      <c r="D2" s="16" t="s">
        <v>13</v>
      </c>
      <c r="E2" s="16">
        <v>1</v>
      </c>
      <c r="F2" s="16">
        <v>1</v>
      </c>
      <c r="G2" s="16">
        <f t="shared" ref="G2:G33" si="0">F2-E2+1</f>
        <v>1</v>
      </c>
      <c r="H2" s="18">
        <f>'Legend &amp; Setup'!$B$1+(E2-1)*7</f>
        <v>46223</v>
      </c>
      <c r="I2" s="18">
        <f>'Legend &amp; Setup'!$B$1+F2*7-1</f>
        <v>46229</v>
      </c>
      <c r="J2" s="16"/>
      <c r="K2" s="16" t="s">
        <v>33</v>
      </c>
    </row>
    <row r="3" spans="1:45" x14ac:dyDescent="0.2">
      <c r="A3" s="16" t="s">
        <v>2</v>
      </c>
      <c r="B3" s="16" t="s">
        <v>34</v>
      </c>
      <c r="C3" s="17" t="s">
        <v>35</v>
      </c>
      <c r="D3" s="16" t="s">
        <v>18</v>
      </c>
      <c r="E3" s="16">
        <v>1</v>
      </c>
      <c r="F3" s="16">
        <v>2</v>
      </c>
      <c r="G3" s="16">
        <f t="shared" si="0"/>
        <v>2</v>
      </c>
      <c r="H3" s="18">
        <f>'Legend &amp; Setup'!$B$1+(E3-1)*7</f>
        <v>46223</v>
      </c>
      <c r="I3" s="18">
        <f>'Legend &amp; Setup'!$B$1+F3*7-1</f>
        <v>46236</v>
      </c>
      <c r="J3" s="16"/>
      <c r="K3" s="16" t="s">
        <v>33</v>
      </c>
    </row>
    <row r="4" spans="1:45" ht="26" x14ac:dyDescent="0.2">
      <c r="A4" s="16" t="s">
        <v>2</v>
      </c>
      <c r="B4" s="16" t="s">
        <v>36</v>
      </c>
      <c r="C4" s="17" t="s">
        <v>37</v>
      </c>
      <c r="D4" s="16" t="s">
        <v>13</v>
      </c>
      <c r="E4" s="16">
        <v>1</v>
      </c>
      <c r="F4" s="16">
        <v>2</v>
      </c>
      <c r="G4" s="16">
        <f t="shared" si="0"/>
        <v>2</v>
      </c>
      <c r="H4" s="18">
        <f>'Legend &amp; Setup'!$B$1+(E4-1)*7</f>
        <v>46223</v>
      </c>
      <c r="I4" s="18">
        <f>'Legend &amp; Setup'!$B$1+F4*7-1</f>
        <v>46236</v>
      </c>
      <c r="J4" s="16" t="s">
        <v>31</v>
      </c>
      <c r="K4" s="16" t="s">
        <v>33</v>
      </c>
    </row>
    <row r="5" spans="1:45" x14ac:dyDescent="0.2">
      <c r="A5" s="16" t="s">
        <v>2</v>
      </c>
      <c r="B5" s="16" t="s">
        <v>38</v>
      </c>
      <c r="C5" s="17" t="s">
        <v>39</v>
      </c>
      <c r="D5" s="16" t="s">
        <v>15</v>
      </c>
      <c r="E5" s="16">
        <v>2</v>
      </c>
      <c r="F5" s="16">
        <v>2</v>
      </c>
      <c r="G5" s="16">
        <f t="shared" si="0"/>
        <v>1</v>
      </c>
      <c r="H5" s="18">
        <f>'Legend &amp; Setup'!$B$1+(E5-1)*7</f>
        <v>46230</v>
      </c>
      <c r="I5" s="18">
        <f>'Legend &amp; Setup'!$B$1+F5*7-1</f>
        <v>46236</v>
      </c>
      <c r="J5" s="16" t="s">
        <v>31</v>
      </c>
      <c r="K5" s="16" t="s">
        <v>33</v>
      </c>
    </row>
    <row r="6" spans="1:45" x14ac:dyDescent="0.2">
      <c r="A6" s="16" t="s">
        <v>2</v>
      </c>
      <c r="B6" s="16" t="s">
        <v>40</v>
      </c>
      <c r="C6" s="17" t="s">
        <v>41</v>
      </c>
      <c r="D6" s="16" t="s">
        <v>13</v>
      </c>
      <c r="E6" s="16">
        <v>2</v>
      </c>
      <c r="F6" s="16">
        <v>2</v>
      </c>
      <c r="G6" s="16">
        <f t="shared" si="0"/>
        <v>1</v>
      </c>
      <c r="H6" s="18">
        <f>'Legend &amp; Setup'!$B$1+(E6-1)*7</f>
        <v>46230</v>
      </c>
      <c r="I6" s="18">
        <f>'Legend &amp; Setup'!$B$1+F6*7-1</f>
        <v>46236</v>
      </c>
      <c r="J6" s="16"/>
      <c r="K6" s="16" t="s">
        <v>33</v>
      </c>
    </row>
    <row r="7" spans="1:45" x14ac:dyDescent="0.2">
      <c r="A7" s="16" t="s">
        <v>2</v>
      </c>
      <c r="B7" s="16" t="s">
        <v>42</v>
      </c>
      <c r="C7" s="17" t="s">
        <v>43</v>
      </c>
      <c r="D7" s="16" t="s">
        <v>13</v>
      </c>
      <c r="E7" s="16">
        <v>1</v>
      </c>
      <c r="F7" s="16">
        <v>1</v>
      </c>
      <c r="G7" s="16">
        <f t="shared" si="0"/>
        <v>1</v>
      </c>
      <c r="H7" s="18">
        <f>'Legend &amp; Setup'!$B$1+(E7-1)*7</f>
        <v>46223</v>
      </c>
      <c r="I7" s="18">
        <f>'Legend &amp; Setup'!$B$1+F7*7-1</f>
        <v>46229</v>
      </c>
      <c r="J7" s="16"/>
      <c r="K7" s="16" t="s">
        <v>33</v>
      </c>
    </row>
    <row r="8" spans="1:45" x14ac:dyDescent="0.2">
      <c r="A8" s="16" t="s">
        <v>2</v>
      </c>
      <c r="B8" s="16" t="s">
        <v>44</v>
      </c>
      <c r="C8" s="17" t="s">
        <v>45</v>
      </c>
      <c r="D8" s="16" t="s">
        <v>13</v>
      </c>
      <c r="E8" s="16">
        <v>3</v>
      </c>
      <c r="F8" s="16">
        <v>3</v>
      </c>
      <c r="G8" s="16">
        <f t="shared" si="0"/>
        <v>1</v>
      </c>
      <c r="H8" s="18">
        <f>'Legend &amp; Setup'!$B$1+(E8-1)*7</f>
        <v>46237</v>
      </c>
      <c r="I8" s="18">
        <f>'Legend &amp; Setup'!$B$1+F8*7-1</f>
        <v>46243</v>
      </c>
      <c r="J8" s="16" t="s">
        <v>36</v>
      </c>
      <c r="K8" s="16" t="s">
        <v>33</v>
      </c>
    </row>
    <row r="9" spans="1:45" x14ac:dyDescent="0.2">
      <c r="A9" s="16" t="s">
        <v>2</v>
      </c>
      <c r="B9" s="16" t="s">
        <v>46</v>
      </c>
      <c r="C9" s="17" t="s">
        <v>47</v>
      </c>
      <c r="D9" s="16" t="s">
        <v>15</v>
      </c>
      <c r="E9" s="16">
        <v>3</v>
      </c>
      <c r="F9" s="16">
        <v>3</v>
      </c>
      <c r="G9" s="16">
        <f t="shared" si="0"/>
        <v>1</v>
      </c>
      <c r="H9" s="18">
        <f>'Legend &amp; Setup'!$B$1+(E9-1)*7</f>
        <v>46237</v>
      </c>
      <c r="I9" s="18">
        <f>'Legend &amp; Setup'!$B$1+F9*7-1</f>
        <v>46243</v>
      </c>
      <c r="J9" s="16" t="s">
        <v>48</v>
      </c>
      <c r="K9" s="16" t="s">
        <v>33</v>
      </c>
    </row>
    <row r="10" spans="1:45" x14ac:dyDescent="0.2">
      <c r="A10" s="16" t="s">
        <v>3</v>
      </c>
      <c r="B10" s="16" t="s">
        <v>49</v>
      </c>
      <c r="C10" s="17" t="s">
        <v>50</v>
      </c>
      <c r="D10" s="16" t="s">
        <v>18</v>
      </c>
      <c r="E10" s="16">
        <v>3</v>
      </c>
      <c r="F10" s="16">
        <v>4</v>
      </c>
      <c r="G10" s="16">
        <f t="shared" si="0"/>
        <v>2</v>
      </c>
      <c r="H10" s="18">
        <f>'Legend &amp; Setup'!$B$1+(E10-1)*7</f>
        <v>46237</v>
      </c>
      <c r="I10" s="18">
        <f>'Legend &amp; Setup'!$B$1+F10*7-1</f>
        <v>46250</v>
      </c>
      <c r="J10" s="16" t="s">
        <v>44</v>
      </c>
      <c r="K10" s="16" t="s">
        <v>33</v>
      </c>
    </row>
    <row r="11" spans="1:45" x14ac:dyDescent="0.2">
      <c r="A11" s="16" t="s">
        <v>3</v>
      </c>
      <c r="B11" s="16" t="s">
        <v>51</v>
      </c>
      <c r="C11" s="17" t="s">
        <v>52</v>
      </c>
      <c r="D11" s="16" t="s">
        <v>15</v>
      </c>
      <c r="E11" s="16">
        <v>3</v>
      </c>
      <c r="F11" s="16">
        <v>5</v>
      </c>
      <c r="G11" s="16">
        <f t="shared" si="0"/>
        <v>3</v>
      </c>
      <c r="H11" s="18">
        <f>'Legend &amp; Setup'!$B$1+(E11-1)*7</f>
        <v>46237</v>
      </c>
      <c r="I11" s="18">
        <f>'Legend &amp; Setup'!$B$1+F11*7-1</f>
        <v>46257</v>
      </c>
      <c r="J11" s="16" t="s">
        <v>44</v>
      </c>
      <c r="K11" s="16" t="s">
        <v>33</v>
      </c>
    </row>
    <row r="12" spans="1:45" x14ac:dyDescent="0.2">
      <c r="A12" s="16" t="s">
        <v>3</v>
      </c>
      <c r="B12" s="16" t="s">
        <v>53</v>
      </c>
      <c r="C12" s="17" t="s">
        <v>54</v>
      </c>
      <c r="D12" s="16" t="s">
        <v>15</v>
      </c>
      <c r="E12" s="16">
        <v>5</v>
      </c>
      <c r="F12" s="16">
        <v>5</v>
      </c>
      <c r="G12" s="16">
        <f t="shared" si="0"/>
        <v>1</v>
      </c>
      <c r="H12" s="18">
        <f>'Legend &amp; Setup'!$B$1+(E12-1)*7</f>
        <v>46251</v>
      </c>
      <c r="I12" s="18">
        <f>'Legend &amp; Setup'!$B$1+F12*7-1</f>
        <v>46257</v>
      </c>
      <c r="J12" s="16" t="s">
        <v>51</v>
      </c>
      <c r="K12" s="16" t="s">
        <v>33</v>
      </c>
    </row>
    <row r="13" spans="1:45" x14ac:dyDescent="0.2">
      <c r="A13" s="16" t="s">
        <v>3</v>
      </c>
      <c r="B13" s="16" t="s">
        <v>55</v>
      </c>
      <c r="C13" s="17" t="s">
        <v>56</v>
      </c>
      <c r="D13" s="16" t="s">
        <v>16</v>
      </c>
      <c r="E13" s="16">
        <v>4</v>
      </c>
      <c r="F13" s="16">
        <v>5</v>
      </c>
      <c r="G13" s="16">
        <f t="shared" si="0"/>
        <v>2</v>
      </c>
      <c r="H13" s="18">
        <f>'Legend &amp; Setup'!$B$1+(E13-1)*7</f>
        <v>46244</v>
      </c>
      <c r="I13" s="18">
        <f>'Legend &amp; Setup'!$B$1+F13*7-1</f>
        <v>46257</v>
      </c>
      <c r="J13" s="16" t="s">
        <v>49</v>
      </c>
      <c r="K13" s="16" t="s">
        <v>33</v>
      </c>
    </row>
    <row r="14" spans="1:45" x14ac:dyDescent="0.2">
      <c r="A14" s="16" t="s">
        <v>3</v>
      </c>
      <c r="B14" s="16" t="s">
        <v>57</v>
      </c>
      <c r="C14" s="17" t="s">
        <v>58</v>
      </c>
      <c r="D14" s="16" t="s">
        <v>16</v>
      </c>
      <c r="E14" s="16">
        <v>5</v>
      </c>
      <c r="F14" s="16">
        <v>5</v>
      </c>
      <c r="G14" s="16">
        <f t="shared" si="0"/>
        <v>1</v>
      </c>
      <c r="H14" s="18">
        <f>'Legend &amp; Setup'!$B$1+(E14-1)*7</f>
        <v>46251</v>
      </c>
      <c r="I14" s="18">
        <f>'Legend &amp; Setup'!$B$1+F14*7-1</f>
        <v>46257</v>
      </c>
      <c r="J14" s="16" t="s">
        <v>55</v>
      </c>
      <c r="K14" s="16" t="s">
        <v>33</v>
      </c>
    </row>
    <row r="15" spans="1:45" x14ac:dyDescent="0.2">
      <c r="A15" s="16" t="s">
        <v>3</v>
      </c>
      <c r="B15" s="16" t="s">
        <v>59</v>
      </c>
      <c r="C15" s="17" t="s">
        <v>60</v>
      </c>
      <c r="D15" s="16" t="s">
        <v>18</v>
      </c>
      <c r="E15" s="16">
        <v>5</v>
      </c>
      <c r="F15" s="16">
        <v>5</v>
      </c>
      <c r="G15" s="16">
        <f t="shared" si="0"/>
        <v>1</v>
      </c>
      <c r="H15" s="18">
        <f>'Legend &amp; Setup'!$B$1+(E15-1)*7</f>
        <v>46251</v>
      </c>
      <c r="I15" s="18">
        <f>'Legend &amp; Setup'!$B$1+F15*7-1</f>
        <v>46257</v>
      </c>
      <c r="J15" s="16" t="s">
        <v>49</v>
      </c>
      <c r="K15" s="16" t="s">
        <v>33</v>
      </c>
    </row>
    <row r="16" spans="1:45" x14ac:dyDescent="0.2">
      <c r="A16" s="16" t="s">
        <v>3</v>
      </c>
      <c r="B16" s="16" t="s">
        <v>61</v>
      </c>
      <c r="C16" s="17" t="s">
        <v>62</v>
      </c>
      <c r="D16" s="16" t="s">
        <v>14</v>
      </c>
      <c r="E16" s="16">
        <v>4</v>
      </c>
      <c r="F16" s="16">
        <v>5</v>
      </c>
      <c r="G16" s="16">
        <f t="shared" si="0"/>
        <v>2</v>
      </c>
      <c r="H16" s="18">
        <f>'Legend &amp; Setup'!$B$1+(E16-1)*7</f>
        <v>46244</v>
      </c>
      <c r="I16" s="18">
        <f>'Legend &amp; Setup'!$B$1+F16*7-1</f>
        <v>46257</v>
      </c>
      <c r="J16" s="16" t="s">
        <v>49</v>
      </c>
      <c r="K16" s="16" t="s">
        <v>33</v>
      </c>
    </row>
    <row r="17" spans="1:11" ht="26" x14ac:dyDescent="0.2">
      <c r="A17" s="16" t="s">
        <v>3</v>
      </c>
      <c r="B17" s="16" t="s">
        <v>63</v>
      </c>
      <c r="C17" s="17" t="s">
        <v>64</v>
      </c>
      <c r="D17" s="16" t="s">
        <v>18</v>
      </c>
      <c r="E17" s="16">
        <v>5</v>
      </c>
      <c r="F17" s="16">
        <v>6</v>
      </c>
      <c r="G17" s="16">
        <f t="shared" si="0"/>
        <v>2</v>
      </c>
      <c r="H17" s="18">
        <f>'Legend &amp; Setup'!$B$1+(E17-1)*7</f>
        <v>46251</v>
      </c>
      <c r="I17" s="18">
        <f>'Legend &amp; Setup'!$B$1+F17*7-1</f>
        <v>46264</v>
      </c>
      <c r="J17" s="16" t="s">
        <v>59</v>
      </c>
      <c r="K17" s="16" t="s">
        <v>33</v>
      </c>
    </row>
    <row r="18" spans="1:11" x14ac:dyDescent="0.2">
      <c r="A18" s="16" t="s">
        <v>3</v>
      </c>
      <c r="B18" s="16" t="s">
        <v>65</v>
      </c>
      <c r="C18" s="17" t="s">
        <v>66</v>
      </c>
      <c r="D18" s="16" t="s">
        <v>17</v>
      </c>
      <c r="E18" s="16">
        <v>5</v>
      </c>
      <c r="F18" s="16">
        <v>6</v>
      </c>
      <c r="G18" s="16">
        <f t="shared" si="0"/>
        <v>2</v>
      </c>
      <c r="H18" s="18">
        <f>'Legend &amp; Setup'!$B$1+(E18-1)*7</f>
        <v>46251</v>
      </c>
      <c r="I18" s="18">
        <f>'Legend &amp; Setup'!$B$1+F18*7-1</f>
        <v>46264</v>
      </c>
      <c r="J18" s="16" t="s">
        <v>55</v>
      </c>
      <c r="K18" s="16" t="s">
        <v>33</v>
      </c>
    </row>
    <row r="19" spans="1:11" x14ac:dyDescent="0.2">
      <c r="A19" s="16" t="s">
        <v>3</v>
      </c>
      <c r="B19" s="16" t="s">
        <v>67</v>
      </c>
      <c r="C19" s="17" t="s">
        <v>68</v>
      </c>
      <c r="D19" s="16" t="s">
        <v>13</v>
      </c>
      <c r="E19" s="16">
        <v>6</v>
      </c>
      <c r="F19" s="16">
        <v>6</v>
      </c>
      <c r="G19" s="16">
        <f t="shared" si="0"/>
        <v>1</v>
      </c>
      <c r="H19" s="18">
        <f>'Legend &amp; Setup'!$B$1+(E19-1)*7</f>
        <v>46258</v>
      </c>
      <c r="I19" s="18">
        <f>'Legend &amp; Setup'!$B$1+F19*7-1</f>
        <v>46264</v>
      </c>
      <c r="J19" s="16" t="s">
        <v>69</v>
      </c>
      <c r="K19" s="16" t="s">
        <v>33</v>
      </c>
    </row>
    <row r="20" spans="1:11" x14ac:dyDescent="0.2">
      <c r="A20" s="16" t="s">
        <v>4</v>
      </c>
      <c r="B20" s="16" t="s">
        <v>70</v>
      </c>
      <c r="C20" s="17" t="s">
        <v>71</v>
      </c>
      <c r="D20" s="16" t="s">
        <v>14</v>
      </c>
      <c r="E20" s="16">
        <v>6</v>
      </c>
      <c r="F20" s="16">
        <v>7</v>
      </c>
      <c r="G20" s="16">
        <f t="shared" si="0"/>
        <v>2</v>
      </c>
      <c r="H20" s="18">
        <f>'Legend &amp; Setup'!$B$1+(E20-1)*7</f>
        <v>46258</v>
      </c>
      <c r="I20" s="18">
        <f>'Legend &amp; Setup'!$B$1+F20*7-1</f>
        <v>46271</v>
      </c>
      <c r="J20" s="16" t="s">
        <v>72</v>
      </c>
      <c r="K20" s="16" t="s">
        <v>33</v>
      </c>
    </row>
    <row r="21" spans="1:11" x14ac:dyDescent="0.2">
      <c r="A21" s="16" t="s">
        <v>4</v>
      </c>
      <c r="B21" s="16" t="s">
        <v>73</v>
      </c>
      <c r="C21" s="17" t="s">
        <v>74</v>
      </c>
      <c r="D21" s="16" t="s">
        <v>15</v>
      </c>
      <c r="E21" s="16">
        <v>7</v>
      </c>
      <c r="F21" s="16">
        <v>7</v>
      </c>
      <c r="G21" s="16">
        <f t="shared" si="0"/>
        <v>1</v>
      </c>
      <c r="H21" s="18">
        <f>'Legend &amp; Setup'!$B$1+(E21-1)*7</f>
        <v>46265</v>
      </c>
      <c r="I21" s="18">
        <f>'Legend &amp; Setup'!$B$1+F21*7-1</f>
        <v>46271</v>
      </c>
      <c r="J21" s="16" t="s">
        <v>75</v>
      </c>
      <c r="K21" s="16" t="s">
        <v>33</v>
      </c>
    </row>
    <row r="22" spans="1:11" x14ac:dyDescent="0.2">
      <c r="A22" s="16" t="s">
        <v>4</v>
      </c>
      <c r="B22" s="16" t="s">
        <v>76</v>
      </c>
      <c r="C22" s="17" t="s">
        <v>77</v>
      </c>
      <c r="D22" s="16" t="s">
        <v>15</v>
      </c>
      <c r="E22" s="16">
        <v>7</v>
      </c>
      <c r="F22" s="16">
        <v>7</v>
      </c>
      <c r="G22" s="16">
        <f t="shared" si="0"/>
        <v>1</v>
      </c>
      <c r="H22" s="18">
        <f>'Legend &amp; Setup'!$B$1+(E22-1)*7</f>
        <v>46265</v>
      </c>
      <c r="I22" s="18">
        <f>'Legend &amp; Setup'!$B$1+F22*7-1</f>
        <v>46271</v>
      </c>
      <c r="J22" s="16" t="s">
        <v>46</v>
      </c>
      <c r="K22" s="16" t="s">
        <v>33</v>
      </c>
    </row>
    <row r="23" spans="1:11" x14ac:dyDescent="0.2">
      <c r="A23" s="16" t="s">
        <v>4</v>
      </c>
      <c r="B23" s="16" t="s">
        <v>78</v>
      </c>
      <c r="C23" s="17" t="s">
        <v>79</v>
      </c>
      <c r="D23" s="16" t="s">
        <v>14</v>
      </c>
      <c r="E23" s="16">
        <v>7</v>
      </c>
      <c r="F23" s="16">
        <v>8</v>
      </c>
      <c r="G23" s="16">
        <f t="shared" si="0"/>
        <v>2</v>
      </c>
      <c r="H23" s="18">
        <f>'Legend &amp; Setup'!$B$1+(E23-1)*7</f>
        <v>46265</v>
      </c>
      <c r="I23" s="18">
        <f>'Legend &amp; Setup'!$B$1+F23*7-1</f>
        <v>46278</v>
      </c>
      <c r="J23" s="16" t="s">
        <v>70</v>
      </c>
      <c r="K23" s="16" t="s">
        <v>33</v>
      </c>
    </row>
    <row r="24" spans="1:11" x14ac:dyDescent="0.2">
      <c r="A24" s="16" t="s">
        <v>4</v>
      </c>
      <c r="B24" s="16" t="s">
        <v>80</v>
      </c>
      <c r="C24" s="17" t="s">
        <v>81</v>
      </c>
      <c r="D24" s="16" t="s">
        <v>14</v>
      </c>
      <c r="E24" s="16">
        <v>8</v>
      </c>
      <c r="F24" s="16">
        <v>8</v>
      </c>
      <c r="G24" s="16">
        <f t="shared" si="0"/>
        <v>1</v>
      </c>
      <c r="H24" s="18">
        <f>'Legend &amp; Setup'!$B$1+(E24-1)*7</f>
        <v>46272</v>
      </c>
      <c r="I24" s="18">
        <f>'Legend &amp; Setup'!$B$1+F24*7-1</f>
        <v>46278</v>
      </c>
      <c r="J24" s="16" t="s">
        <v>82</v>
      </c>
      <c r="K24" s="16" t="s">
        <v>33</v>
      </c>
    </row>
    <row r="25" spans="1:11" x14ac:dyDescent="0.2">
      <c r="A25" s="16" t="s">
        <v>4</v>
      </c>
      <c r="B25" s="16" t="s">
        <v>83</v>
      </c>
      <c r="C25" s="17" t="s">
        <v>84</v>
      </c>
      <c r="D25" s="16" t="s">
        <v>14</v>
      </c>
      <c r="E25" s="16">
        <v>8</v>
      </c>
      <c r="F25" s="16">
        <v>9</v>
      </c>
      <c r="G25" s="16">
        <f t="shared" si="0"/>
        <v>2</v>
      </c>
      <c r="H25" s="18">
        <f>'Legend &amp; Setup'!$B$1+(E25-1)*7</f>
        <v>46272</v>
      </c>
      <c r="I25" s="18">
        <f>'Legend &amp; Setup'!$B$1+F25*7-1</f>
        <v>46285</v>
      </c>
      <c r="J25" s="16" t="s">
        <v>85</v>
      </c>
      <c r="K25" s="16" t="s">
        <v>33</v>
      </c>
    </row>
    <row r="26" spans="1:11" x14ac:dyDescent="0.2">
      <c r="A26" s="16" t="s">
        <v>4</v>
      </c>
      <c r="B26" s="16" t="s">
        <v>86</v>
      </c>
      <c r="C26" s="17" t="s">
        <v>87</v>
      </c>
      <c r="D26" s="16" t="s">
        <v>14</v>
      </c>
      <c r="E26" s="16">
        <v>9</v>
      </c>
      <c r="F26" s="16">
        <v>10</v>
      </c>
      <c r="G26" s="16">
        <f t="shared" si="0"/>
        <v>2</v>
      </c>
      <c r="H26" s="18">
        <f>'Legend &amp; Setup'!$B$1+(E26-1)*7</f>
        <v>46279</v>
      </c>
      <c r="I26" s="18">
        <f>'Legend &amp; Setup'!$B$1+F26*7-1</f>
        <v>46292</v>
      </c>
      <c r="J26" s="16" t="s">
        <v>88</v>
      </c>
      <c r="K26" s="16" t="s">
        <v>33</v>
      </c>
    </row>
    <row r="27" spans="1:11" x14ac:dyDescent="0.2">
      <c r="A27" s="16" t="s">
        <v>4</v>
      </c>
      <c r="B27" s="16" t="s">
        <v>89</v>
      </c>
      <c r="C27" s="17" t="s">
        <v>90</v>
      </c>
      <c r="D27" s="16" t="s">
        <v>15</v>
      </c>
      <c r="E27" s="16">
        <v>10</v>
      </c>
      <c r="F27" s="16">
        <v>10</v>
      </c>
      <c r="G27" s="16">
        <f t="shared" si="0"/>
        <v>1</v>
      </c>
      <c r="H27" s="18">
        <f>'Legend &amp; Setup'!$B$1+(E27-1)*7</f>
        <v>46286</v>
      </c>
      <c r="I27" s="18">
        <f>'Legend &amp; Setup'!$B$1+F27*7-1</f>
        <v>46292</v>
      </c>
      <c r="J27" s="16" t="s">
        <v>80</v>
      </c>
      <c r="K27" s="16" t="s">
        <v>33</v>
      </c>
    </row>
    <row r="28" spans="1:11" x14ac:dyDescent="0.2">
      <c r="A28" s="16" t="s">
        <v>4</v>
      </c>
      <c r="B28" s="16" t="s">
        <v>91</v>
      </c>
      <c r="C28" s="17" t="s">
        <v>92</v>
      </c>
      <c r="D28" s="16" t="s">
        <v>15</v>
      </c>
      <c r="E28" s="16">
        <v>10</v>
      </c>
      <c r="F28" s="16">
        <v>10</v>
      </c>
      <c r="G28" s="16">
        <f t="shared" si="0"/>
        <v>1</v>
      </c>
      <c r="H28" s="18">
        <f>'Legend &amp; Setup'!$B$1+(E28-1)*7</f>
        <v>46286</v>
      </c>
      <c r="I28" s="18">
        <f>'Legend &amp; Setup'!$B$1+F28*7-1</f>
        <v>46292</v>
      </c>
      <c r="J28" s="16" t="s">
        <v>73</v>
      </c>
      <c r="K28" s="16" t="s">
        <v>33</v>
      </c>
    </row>
    <row r="29" spans="1:11" x14ac:dyDescent="0.2">
      <c r="A29" s="16" t="s">
        <v>4</v>
      </c>
      <c r="B29" s="16" t="s">
        <v>93</v>
      </c>
      <c r="C29" s="17" t="s">
        <v>94</v>
      </c>
      <c r="D29" s="16" t="s">
        <v>13</v>
      </c>
      <c r="E29" s="16">
        <v>11</v>
      </c>
      <c r="F29" s="16">
        <v>11</v>
      </c>
      <c r="G29" s="16">
        <f t="shared" si="0"/>
        <v>1</v>
      </c>
      <c r="H29" s="18">
        <f>'Legend &amp; Setup'!$B$1+(E29-1)*7</f>
        <v>46293</v>
      </c>
      <c r="I29" s="18">
        <f>'Legend &amp; Setup'!$B$1+F29*7-1</f>
        <v>46299</v>
      </c>
      <c r="J29" s="16" t="s">
        <v>95</v>
      </c>
      <c r="K29" s="16" t="s">
        <v>33</v>
      </c>
    </row>
    <row r="30" spans="1:11" x14ac:dyDescent="0.2">
      <c r="A30" s="16" t="s">
        <v>5</v>
      </c>
      <c r="B30" s="16" t="s">
        <v>96</v>
      </c>
      <c r="C30" s="17" t="s">
        <v>97</v>
      </c>
      <c r="D30" s="16" t="s">
        <v>16</v>
      </c>
      <c r="E30" s="16">
        <v>8</v>
      </c>
      <c r="F30" s="16">
        <v>8</v>
      </c>
      <c r="G30" s="16">
        <f t="shared" si="0"/>
        <v>1</v>
      </c>
      <c r="H30" s="18">
        <f>'Legend &amp; Setup'!$B$1+(E30-1)*7</f>
        <v>46272</v>
      </c>
      <c r="I30" s="18">
        <f>'Legend &amp; Setup'!$B$1+F30*7-1</f>
        <v>46278</v>
      </c>
      <c r="J30" s="16" t="s">
        <v>57</v>
      </c>
      <c r="K30" s="16" t="s">
        <v>33</v>
      </c>
    </row>
    <row r="31" spans="1:11" x14ac:dyDescent="0.2">
      <c r="A31" s="16" t="s">
        <v>5</v>
      </c>
      <c r="B31" s="16" t="s">
        <v>98</v>
      </c>
      <c r="C31" s="17" t="s">
        <v>99</v>
      </c>
      <c r="D31" s="16" t="s">
        <v>16</v>
      </c>
      <c r="E31" s="16">
        <v>8</v>
      </c>
      <c r="F31" s="16">
        <v>9</v>
      </c>
      <c r="G31" s="16">
        <f t="shared" si="0"/>
        <v>2</v>
      </c>
      <c r="H31" s="18">
        <f>'Legend &amp; Setup'!$B$1+(E31-1)*7</f>
        <v>46272</v>
      </c>
      <c r="I31" s="18">
        <f>'Legend &amp; Setup'!$B$1+F31*7-1</f>
        <v>46285</v>
      </c>
      <c r="J31" s="16" t="s">
        <v>100</v>
      </c>
      <c r="K31" s="16" t="s">
        <v>33</v>
      </c>
    </row>
    <row r="32" spans="1:11" x14ac:dyDescent="0.2">
      <c r="A32" s="16" t="s">
        <v>5</v>
      </c>
      <c r="B32" s="16" t="s">
        <v>101</v>
      </c>
      <c r="C32" s="17" t="s">
        <v>102</v>
      </c>
      <c r="D32" s="16" t="s">
        <v>16</v>
      </c>
      <c r="E32" s="16">
        <v>9</v>
      </c>
      <c r="F32" s="16">
        <v>10</v>
      </c>
      <c r="G32" s="16">
        <f t="shared" si="0"/>
        <v>2</v>
      </c>
      <c r="H32" s="18">
        <f>'Legend &amp; Setup'!$B$1+(E32-1)*7</f>
        <v>46279</v>
      </c>
      <c r="I32" s="18">
        <f>'Legend &amp; Setup'!$B$1+F32*7-1</f>
        <v>46292</v>
      </c>
      <c r="J32" s="16" t="s">
        <v>98</v>
      </c>
      <c r="K32" s="16" t="s">
        <v>33</v>
      </c>
    </row>
    <row r="33" spans="1:11" x14ac:dyDescent="0.2">
      <c r="A33" s="16" t="s">
        <v>5</v>
      </c>
      <c r="B33" s="16" t="s">
        <v>103</v>
      </c>
      <c r="C33" s="17" t="s">
        <v>104</v>
      </c>
      <c r="D33" s="16" t="s">
        <v>16</v>
      </c>
      <c r="E33" s="16">
        <v>10</v>
      </c>
      <c r="F33" s="16">
        <v>10</v>
      </c>
      <c r="G33" s="16">
        <f t="shared" si="0"/>
        <v>1</v>
      </c>
      <c r="H33" s="18">
        <f>'Legend &amp; Setup'!$B$1+(E33-1)*7</f>
        <v>46286</v>
      </c>
      <c r="I33" s="18">
        <f>'Legend &amp; Setup'!$B$1+F33*7-1</f>
        <v>46292</v>
      </c>
      <c r="J33" s="16" t="s">
        <v>101</v>
      </c>
      <c r="K33" s="16" t="s">
        <v>33</v>
      </c>
    </row>
    <row r="34" spans="1:11" x14ac:dyDescent="0.2">
      <c r="A34" s="16" t="s">
        <v>5</v>
      </c>
      <c r="B34" s="16" t="s">
        <v>105</v>
      </c>
      <c r="C34" s="17" t="s">
        <v>106</v>
      </c>
      <c r="D34" s="16" t="s">
        <v>16</v>
      </c>
      <c r="E34" s="16">
        <v>11</v>
      </c>
      <c r="F34" s="16">
        <v>12</v>
      </c>
      <c r="G34" s="16">
        <f t="shared" ref="G34:G65" si="1">F34-E34+1</f>
        <v>2</v>
      </c>
      <c r="H34" s="18">
        <f>'Legend &amp; Setup'!$B$1+(E34-1)*7</f>
        <v>46293</v>
      </c>
      <c r="I34" s="18">
        <f>'Legend &amp; Setup'!$B$1+F34*7-1</f>
        <v>46306</v>
      </c>
      <c r="J34" s="16" t="s">
        <v>98</v>
      </c>
      <c r="K34" s="16" t="s">
        <v>33</v>
      </c>
    </row>
    <row r="35" spans="1:11" x14ac:dyDescent="0.2">
      <c r="A35" s="16" t="s">
        <v>5</v>
      </c>
      <c r="B35" s="16" t="s">
        <v>107</v>
      </c>
      <c r="C35" s="17" t="s">
        <v>108</v>
      </c>
      <c r="D35" s="16" t="s">
        <v>16</v>
      </c>
      <c r="E35" s="16">
        <v>12</v>
      </c>
      <c r="F35" s="16">
        <v>12</v>
      </c>
      <c r="G35" s="16">
        <f t="shared" si="1"/>
        <v>1</v>
      </c>
      <c r="H35" s="18">
        <f>'Legend &amp; Setup'!$B$1+(E35-1)*7</f>
        <v>46300</v>
      </c>
      <c r="I35" s="18">
        <f>'Legend &amp; Setup'!$B$1+F35*7-1</f>
        <v>46306</v>
      </c>
      <c r="J35" s="16" t="s">
        <v>109</v>
      </c>
      <c r="K35" s="16" t="s">
        <v>33</v>
      </c>
    </row>
    <row r="36" spans="1:11" x14ac:dyDescent="0.2">
      <c r="A36" s="16" t="s">
        <v>5</v>
      </c>
      <c r="B36" s="16" t="s">
        <v>110</v>
      </c>
      <c r="C36" s="17" t="s">
        <v>111</v>
      </c>
      <c r="D36" s="16" t="s">
        <v>16</v>
      </c>
      <c r="E36" s="16">
        <v>12</v>
      </c>
      <c r="F36" s="16">
        <v>13</v>
      </c>
      <c r="G36" s="16">
        <f t="shared" si="1"/>
        <v>2</v>
      </c>
      <c r="H36" s="18">
        <f>'Legend &amp; Setup'!$B$1+(E36-1)*7</f>
        <v>46300</v>
      </c>
      <c r="I36" s="18">
        <f>'Legend &amp; Setup'!$B$1+F36*7-1</f>
        <v>46313</v>
      </c>
      <c r="J36" s="16" t="s">
        <v>107</v>
      </c>
      <c r="K36" s="16" t="s">
        <v>33</v>
      </c>
    </row>
    <row r="37" spans="1:11" x14ac:dyDescent="0.2">
      <c r="A37" s="16" t="s">
        <v>5</v>
      </c>
      <c r="B37" s="16" t="s">
        <v>112</v>
      </c>
      <c r="C37" s="17" t="s">
        <v>113</v>
      </c>
      <c r="D37" s="16" t="s">
        <v>16</v>
      </c>
      <c r="E37" s="16">
        <v>13</v>
      </c>
      <c r="F37" s="16">
        <v>14</v>
      </c>
      <c r="G37" s="16">
        <f t="shared" si="1"/>
        <v>2</v>
      </c>
      <c r="H37" s="18">
        <f>'Legend &amp; Setup'!$B$1+(E37-1)*7</f>
        <v>46307</v>
      </c>
      <c r="I37" s="18">
        <f>'Legend &amp; Setup'!$B$1+F37*7-1</f>
        <v>46320</v>
      </c>
      <c r="J37" s="16" t="s">
        <v>114</v>
      </c>
      <c r="K37" s="16" t="s">
        <v>33</v>
      </c>
    </row>
    <row r="38" spans="1:11" x14ac:dyDescent="0.2">
      <c r="A38" s="16" t="s">
        <v>6</v>
      </c>
      <c r="B38" s="16" t="s">
        <v>115</v>
      </c>
      <c r="C38" s="17" t="s">
        <v>116</v>
      </c>
      <c r="D38" s="16" t="s">
        <v>17</v>
      </c>
      <c r="E38" s="16">
        <v>11</v>
      </c>
      <c r="F38" s="16">
        <v>11</v>
      </c>
      <c r="G38" s="16">
        <f t="shared" si="1"/>
        <v>1</v>
      </c>
      <c r="H38" s="18">
        <f>'Legend &amp; Setup'!$B$1+(E38-1)*7</f>
        <v>46293</v>
      </c>
      <c r="I38" s="18">
        <f>'Legend &amp; Setup'!$B$1+F38*7-1</f>
        <v>46299</v>
      </c>
      <c r="J38" s="16" t="s">
        <v>65</v>
      </c>
      <c r="K38" s="16" t="s">
        <v>33</v>
      </c>
    </row>
    <row r="39" spans="1:11" x14ac:dyDescent="0.2">
      <c r="A39" s="16" t="s">
        <v>6</v>
      </c>
      <c r="B39" s="16" t="s">
        <v>117</v>
      </c>
      <c r="C39" s="17" t="s">
        <v>118</v>
      </c>
      <c r="D39" s="16" t="s">
        <v>17</v>
      </c>
      <c r="E39" s="16">
        <v>11</v>
      </c>
      <c r="F39" s="16">
        <v>12</v>
      </c>
      <c r="G39" s="16">
        <f t="shared" si="1"/>
        <v>2</v>
      </c>
      <c r="H39" s="18">
        <f>'Legend &amp; Setup'!$B$1+(E39-1)*7</f>
        <v>46293</v>
      </c>
      <c r="I39" s="18">
        <f>'Legend &amp; Setup'!$B$1+F39*7-1</f>
        <v>46306</v>
      </c>
      <c r="J39" s="16" t="s">
        <v>119</v>
      </c>
      <c r="K39" s="16" t="s">
        <v>33</v>
      </c>
    </row>
    <row r="40" spans="1:11" x14ac:dyDescent="0.2">
      <c r="A40" s="16" t="s">
        <v>6</v>
      </c>
      <c r="B40" s="16" t="s">
        <v>120</v>
      </c>
      <c r="C40" s="17" t="s">
        <v>121</v>
      </c>
      <c r="D40" s="16" t="s">
        <v>17</v>
      </c>
      <c r="E40" s="16">
        <v>13</v>
      </c>
      <c r="F40" s="16">
        <v>14</v>
      </c>
      <c r="G40" s="16">
        <f t="shared" si="1"/>
        <v>2</v>
      </c>
      <c r="H40" s="18">
        <f>'Legend &amp; Setup'!$B$1+(E40-1)*7</f>
        <v>46307</v>
      </c>
      <c r="I40" s="18">
        <f>'Legend &amp; Setup'!$B$1+F40*7-1</f>
        <v>46320</v>
      </c>
      <c r="J40" s="16" t="s">
        <v>122</v>
      </c>
      <c r="K40" s="16" t="s">
        <v>33</v>
      </c>
    </row>
    <row r="41" spans="1:11" x14ac:dyDescent="0.2">
      <c r="A41" s="16" t="s">
        <v>6</v>
      </c>
      <c r="B41" s="16" t="s">
        <v>123</v>
      </c>
      <c r="C41" s="17" t="s">
        <v>124</v>
      </c>
      <c r="D41" s="16" t="s">
        <v>17</v>
      </c>
      <c r="E41" s="16">
        <v>14</v>
      </c>
      <c r="F41" s="16">
        <v>14</v>
      </c>
      <c r="G41" s="16">
        <f t="shared" si="1"/>
        <v>1</v>
      </c>
      <c r="H41" s="18">
        <f>'Legend &amp; Setup'!$B$1+(E41-1)*7</f>
        <v>46314</v>
      </c>
      <c r="I41" s="18">
        <f>'Legend &amp; Setup'!$B$1+F41*7-1</f>
        <v>46320</v>
      </c>
      <c r="J41" s="16" t="s">
        <v>120</v>
      </c>
      <c r="K41" s="16" t="s">
        <v>33</v>
      </c>
    </row>
    <row r="42" spans="1:11" x14ac:dyDescent="0.2">
      <c r="A42" s="16" t="s">
        <v>6</v>
      </c>
      <c r="B42" s="16" t="s">
        <v>125</v>
      </c>
      <c r="C42" s="17" t="s">
        <v>126</v>
      </c>
      <c r="D42" s="16" t="s">
        <v>17</v>
      </c>
      <c r="E42" s="16">
        <v>15</v>
      </c>
      <c r="F42" s="16">
        <v>15</v>
      </c>
      <c r="G42" s="16">
        <f t="shared" si="1"/>
        <v>1</v>
      </c>
      <c r="H42" s="18">
        <f>'Legend &amp; Setup'!$B$1+(E42-1)*7</f>
        <v>46321</v>
      </c>
      <c r="I42" s="18">
        <f>'Legend &amp; Setup'!$B$1+F42*7-1</f>
        <v>46327</v>
      </c>
      <c r="J42" s="16" t="s">
        <v>110</v>
      </c>
      <c r="K42" s="16" t="s">
        <v>33</v>
      </c>
    </row>
    <row r="43" spans="1:11" x14ac:dyDescent="0.2">
      <c r="A43" s="16" t="s">
        <v>6</v>
      </c>
      <c r="B43" s="16" t="s">
        <v>127</v>
      </c>
      <c r="C43" s="17" t="s">
        <v>128</v>
      </c>
      <c r="D43" s="16" t="s">
        <v>17</v>
      </c>
      <c r="E43" s="16">
        <v>15</v>
      </c>
      <c r="F43" s="16">
        <v>16</v>
      </c>
      <c r="G43" s="16">
        <f t="shared" si="1"/>
        <v>2</v>
      </c>
      <c r="H43" s="18">
        <f>'Legend &amp; Setup'!$B$1+(E43-1)*7</f>
        <v>46321</v>
      </c>
      <c r="I43" s="18">
        <f>'Legend &amp; Setup'!$B$1+F43*7-1</f>
        <v>46334</v>
      </c>
      <c r="J43" s="16" t="s">
        <v>120</v>
      </c>
      <c r="K43" s="16" t="s">
        <v>33</v>
      </c>
    </row>
    <row r="44" spans="1:11" x14ac:dyDescent="0.2">
      <c r="A44" s="16" t="s">
        <v>6</v>
      </c>
      <c r="B44" s="16" t="s">
        <v>129</v>
      </c>
      <c r="C44" s="17" t="s">
        <v>130</v>
      </c>
      <c r="D44" s="16" t="s">
        <v>17</v>
      </c>
      <c r="E44" s="16">
        <v>16</v>
      </c>
      <c r="F44" s="16">
        <v>17</v>
      </c>
      <c r="G44" s="16">
        <f t="shared" si="1"/>
        <v>2</v>
      </c>
      <c r="H44" s="18">
        <f>'Legend &amp; Setup'!$B$1+(E44-1)*7</f>
        <v>46328</v>
      </c>
      <c r="I44" s="18">
        <f>'Legend &amp; Setup'!$B$1+F44*7-1</f>
        <v>46341</v>
      </c>
      <c r="J44" s="16" t="s">
        <v>131</v>
      </c>
      <c r="K44" s="16" t="s">
        <v>33</v>
      </c>
    </row>
    <row r="45" spans="1:11" x14ac:dyDescent="0.2">
      <c r="A45" s="16" t="s">
        <v>7</v>
      </c>
      <c r="B45" s="16" t="s">
        <v>132</v>
      </c>
      <c r="C45" s="17" t="s">
        <v>133</v>
      </c>
      <c r="D45" s="16" t="s">
        <v>18</v>
      </c>
      <c r="E45" s="16">
        <v>15</v>
      </c>
      <c r="F45" s="16">
        <v>15</v>
      </c>
      <c r="G45" s="16">
        <f t="shared" si="1"/>
        <v>1</v>
      </c>
      <c r="H45" s="18">
        <f>'Legend &amp; Setup'!$B$1+(E45-1)*7</f>
        <v>46321</v>
      </c>
      <c r="I45" s="18">
        <f>'Legend &amp; Setup'!$B$1+F45*7-1</f>
        <v>46327</v>
      </c>
      <c r="J45" s="16" t="s">
        <v>134</v>
      </c>
      <c r="K45" s="16" t="s">
        <v>33</v>
      </c>
    </row>
    <row r="46" spans="1:11" x14ac:dyDescent="0.2">
      <c r="A46" s="16" t="s">
        <v>7</v>
      </c>
      <c r="B46" s="16" t="s">
        <v>135</v>
      </c>
      <c r="C46" s="17" t="s">
        <v>136</v>
      </c>
      <c r="D46" s="16" t="s">
        <v>18</v>
      </c>
      <c r="E46" s="16">
        <v>16</v>
      </c>
      <c r="F46" s="16">
        <v>16</v>
      </c>
      <c r="G46" s="16">
        <f t="shared" si="1"/>
        <v>1</v>
      </c>
      <c r="H46" s="18">
        <f>'Legend &amp; Setup'!$B$1+(E46-1)*7</f>
        <v>46328</v>
      </c>
      <c r="I46" s="18">
        <f>'Legend &amp; Setup'!$B$1+F46*7-1</f>
        <v>46334</v>
      </c>
      <c r="J46" s="16" t="s">
        <v>137</v>
      </c>
      <c r="K46" s="16" t="s">
        <v>33</v>
      </c>
    </row>
    <row r="47" spans="1:11" x14ac:dyDescent="0.2">
      <c r="A47" s="16" t="s">
        <v>7</v>
      </c>
      <c r="B47" s="16" t="s">
        <v>138</v>
      </c>
      <c r="C47" s="17" t="s">
        <v>139</v>
      </c>
      <c r="D47" s="16" t="s">
        <v>15</v>
      </c>
      <c r="E47" s="16">
        <v>16</v>
      </c>
      <c r="F47" s="16">
        <v>17</v>
      </c>
      <c r="G47" s="16">
        <f t="shared" si="1"/>
        <v>2</v>
      </c>
      <c r="H47" s="18">
        <f>'Legend &amp; Setup'!$B$1+(E47-1)*7</f>
        <v>46328</v>
      </c>
      <c r="I47" s="18">
        <f>'Legend &amp; Setup'!$B$1+F47*7-1</f>
        <v>46341</v>
      </c>
      <c r="J47" s="16" t="s">
        <v>140</v>
      </c>
      <c r="K47" s="16" t="s">
        <v>33</v>
      </c>
    </row>
    <row r="48" spans="1:11" x14ac:dyDescent="0.2">
      <c r="A48" s="16" t="s">
        <v>7</v>
      </c>
      <c r="B48" s="16" t="s">
        <v>141</v>
      </c>
      <c r="C48" s="17" t="s">
        <v>142</v>
      </c>
      <c r="D48" s="16" t="s">
        <v>14</v>
      </c>
      <c r="E48" s="16">
        <v>17</v>
      </c>
      <c r="F48" s="16">
        <v>18</v>
      </c>
      <c r="G48" s="16">
        <f t="shared" si="1"/>
        <v>2</v>
      </c>
      <c r="H48" s="18">
        <f>'Legend &amp; Setup'!$B$1+(E48-1)*7</f>
        <v>46335</v>
      </c>
      <c r="I48" s="18">
        <f>'Legend &amp; Setup'!$B$1+F48*7-1</f>
        <v>46348</v>
      </c>
      <c r="J48" s="16" t="s">
        <v>143</v>
      </c>
      <c r="K48" s="16" t="s">
        <v>33</v>
      </c>
    </row>
    <row r="49" spans="1:11" x14ac:dyDescent="0.2">
      <c r="A49" s="16" t="s">
        <v>7</v>
      </c>
      <c r="B49" s="16" t="s">
        <v>144</v>
      </c>
      <c r="C49" s="17" t="s">
        <v>145</v>
      </c>
      <c r="D49" s="16" t="s">
        <v>18</v>
      </c>
      <c r="E49" s="16">
        <v>18</v>
      </c>
      <c r="F49" s="16">
        <v>19</v>
      </c>
      <c r="G49" s="16">
        <f t="shared" si="1"/>
        <v>2</v>
      </c>
      <c r="H49" s="18">
        <f>'Legend &amp; Setup'!$B$1+(E49-1)*7</f>
        <v>46342</v>
      </c>
      <c r="I49" s="18">
        <f>'Legend &amp; Setup'!$B$1+F49*7-1</f>
        <v>46355</v>
      </c>
      <c r="J49" s="16" t="s">
        <v>146</v>
      </c>
      <c r="K49" s="16" t="s">
        <v>33</v>
      </c>
    </row>
    <row r="50" spans="1:11" x14ac:dyDescent="0.2">
      <c r="A50" s="16" t="s">
        <v>8</v>
      </c>
      <c r="B50" s="16" t="s">
        <v>147</v>
      </c>
      <c r="C50" s="17" t="s">
        <v>148</v>
      </c>
      <c r="D50" s="16" t="s">
        <v>15</v>
      </c>
      <c r="E50" s="16">
        <v>18</v>
      </c>
      <c r="F50" s="16">
        <v>20</v>
      </c>
      <c r="G50" s="16">
        <f t="shared" si="1"/>
        <v>3</v>
      </c>
      <c r="H50" s="18">
        <f>'Legend &amp; Setup'!$B$1+(E50-1)*7</f>
        <v>46342</v>
      </c>
      <c r="I50" s="18">
        <f>'Legend &amp; Setup'!$B$1+F50*7-1</f>
        <v>46362</v>
      </c>
      <c r="J50" s="16" t="s">
        <v>93</v>
      </c>
      <c r="K50" s="16" t="s">
        <v>33</v>
      </c>
    </row>
    <row r="51" spans="1:11" x14ac:dyDescent="0.2">
      <c r="A51" s="16" t="s">
        <v>8</v>
      </c>
      <c r="B51" s="16" t="s">
        <v>149</v>
      </c>
      <c r="C51" s="17" t="s">
        <v>150</v>
      </c>
      <c r="D51" s="16" t="s">
        <v>18</v>
      </c>
      <c r="E51" s="16">
        <v>20</v>
      </c>
      <c r="F51" s="16">
        <v>21</v>
      </c>
      <c r="G51" s="16">
        <f t="shared" si="1"/>
        <v>2</v>
      </c>
      <c r="H51" s="18">
        <f>'Legend &amp; Setup'!$B$1+(E51-1)*7</f>
        <v>46356</v>
      </c>
      <c r="I51" s="18">
        <f>'Legend &amp; Setup'!$B$1+F51*7-1</f>
        <v>46369</v>
      </c>
      <c r="J51" s="16" t="s">
        <v>147</v>
      </c>
      <c r="K51" s="16" t="s">
        <v>33</v>
      </c>
    </row>
    <row r="52" spans="1:11" x14ac:dyDescent="0.2">
      <c r="A52" s="16" t="s">
        <v>8</v>
      </c>
      <c r="B52" s="16" t="s">
        <v>151</v>
      </c>
      <c r="C52" s="17" t="s">
        <v>152</v>
      </c>
      <c r="D52" s="16" t="s">
        <v>16</v>
      </c>
      <c r="E52" s="16">
        <v>21</v>
      </c>
      <c r="F52" s="16">
        <v>21</v>
      </c>
      <c r="G52" s="16">
        <f t="shared" si="1"/>
        <v>1</v>
      </c>
      <c r="H52" s="18">
        <f>'Legend &amp; Setup'!$B$1+(E52-1)*7</f>
        <v>46363</v>
      </c>
      <c r="I52" s="18">
        <f>'Legend &amp; Setup'!$B$1+F52*7-1</f>
        <v>46369</v>
      </c>
      <c r="J52" s="16" t="s">
        <v>153</v>
      </c>
      <c r="K52" s="16" t="s">
        <v>33</v>
      </c>
    </row>
    <row r="53" spans="1:11" x14ac:dyDescent="0.2">
      <c r="A53" s="16" t="s">
        <v>8</v>
      </c>
      <c r="B53" s="16" t="s">
        <v>154</v>
      </c>
      <c r="C53" s="17" t="s">
        <v>155</v>
      </c>
      <c r="D53" s="16" t="s">
        <v>13</v>
      </c>
      <c r="E53" s="16">
        <v>22</v>
      </c>
      <c r="F53" s="16">
        <v>23</v>
      </c>
      <c r="G53" s="16">
        <f t="shared" si="1"/>
        <v>2</v>
      </c>
      <c r="H53" s="18">
        <f>'Legend &amp; Setup'!$B$1+(E53-1)*7</f>
        <v>46370</v>
      </c>
      <c r="I53" s="18">
        <f>'Legend &amp; Setup'!$B$1+F53*7-1</f>
        <v>46383</v>
      </c>
      <c r="J53" s="16" t="s">
        <v>151</v>
      </c>
      <c r="K53" s="16" t="s">
        <v>33</v>
      </c>
    </row>
    <row r="54" spans="1:11" x14ac:dyDescent="0.2">
      <c r="A54" s="16" t="s">
        <v>9</v>
      </c>
      <c r="B54" s="16" t="s">
        <v>156</v>
      </c>
      <c r="C54" s="17" t="s">
        <v>157</v>
      </c>
      <c r="D54" s="16" t="s">
        <v>19</v>
      </c>
      <c r="E54" s="16">
        <v>23</v>
      </c>
      <c r="F54" s="16">
        <v>24</v>
      </c>
      <c r="G54" s="16">
        <f t="shared" si="1"/>
        <v>2</v>
      </c>
      <c r="H54" s="18">
        <f>'Legend &amp; Setup'!$B$1+(E54-1)*7</f>
        <v>46377</v>
      </c>
      <c r="I54" s="18">
        <f>'Legend &amp; Setup'!$B$1+F54*7-1</f>
        <v>46390</v>
      </c>
      <c r="J54" s="16" t="s">
        <v>158</v>
      </c>
      <c r="K54" s="16" t="s">
        <v>33</v>
      </c>
    </row>
    <row r="55" spans="1:11" x14ac:dyDescent="0.2">
      <c r="A55" s="16" t="s">
        <v>9</v>
      </c>
      <c r="B55" s="16" t="s">
        <v>159</v>
      </c>
      <c r="C55" s="17" t="s">
        <v>160</v>
      </c>
      <c r="D55" s="16" t="s">
        <v>15</v>
      </c>
      <c r="E55" s="16">
        <v>24</v>
      </c>
      <c r="F55" s="16">
        <v>24</v>
      </c>
      <c r="G55" s="16">
        <f t="shared" si="1"/>
        <v>1</v>
      </c>
      <c r="H55" s="18">
        <f>'Legend &amp; Setup'!$B$1+(E55-1)*7</f>
        <v>46384</v>
      </c>
      <c r="I55" s="18">
        <f>'Legend &amp; Setup'!$B$1+F55*7-1</f>
        <v>46390</v>
      </c>
      <c r="J55" s="16" t="s">
        <v>161</v>
      </c>
      <c r="K55" s="16" t="s">
        <v>33</v>
      </c>
    </row>
    <row r="56" spans="1:11" x14ac:dyDescent="0.2">
      <c r="A56" s="16" t="s">
        <v>9</v>
      </c>
      <c r="B56" s="16" t="s">
        <v>162</v>
      </c>
      <c r="C56" s="17" t="s">
        <v>163</v>
      </c>
      <c r="D56" s="16" t="s">
        <v>18</v>
      </c>
      <c r="E56" s="16">
        <v>25</v>
      </c>
      <c r="F56" s="16">
        <v>25</v>
      </c>
      <c r="G56" s="16">
        <f t="shared" si="1"/>
        <v>1</v>
      </c>
      <c r="H56" s="18">
        <f>'Legend &amp; Setup'!$B$1+(E56-1)*7</f>
        <v>46391</v>
      </c>
      <c r="I56" s="18">
        <f>'Legend &amp; Setup'!$B$1+F56*7-1</f>
        <v>46397</v>
      </c>
      <c r="J56" s="16" t="s">
        <v>144</v>
      </c>
      <c r="K56" s="16" t="s">
        <v>33</v>
      </c>
    </row>
    <row r="57" spans="1:11" x14ac:dyDescent="0.2">
      <c r="A57" s="16" t="s">
        <v>9</v>
      </c>
      <c r="B57" s="16" t="s">
        <v>164</v>
      </c>
      <c r="C57" s="17" t="s">
        <v>165</v>
      </c>
      <c r="D57" s="16" t="s">
        <v>17</v>
      </c>
      <c r="E57" s="16">
        <v>25</v>
      </c>
      <c r="F57" s="16">
        <v>25</v>
      </c>
      <c r="G57" s="16">
        <f t="shared" si="1"/>
        <v>1</v>
      </c>
      <c r="H57" s="18">
        <f>'Legend &amp; Setup'!$B$1+(E57-1)*7</f>
        <v>46391</v>
      </c>
      <c r="I57" s="18">
        <f>'Legend &amp; Setup'!$B$1+F57*7-1</f>
        <v>46397</v>
      </c>
      <c r="J57" s="16" t="s">
        <v>129</v>
      </c>
      <c r="K57" s="16" t="s">
        <v>33</v>
      </c>
    </row>
    <row r="58" spans="1:11" x14ac:dyDescent="0.2">
      <c r="A58" s="16" t="s">
        <v>9</v>
      </c>
      <c r="B58" s="16" t="s">
        <v>166</v>
      </c>
      <c r="C58" s="17" t="s">
        <v>167</v>
      </c>
      <c r="D58" s="16" t="s">
        <v>13</v>
      </c>
      <c r="E58" s="16">
        <v>26</v>
      </c>
      <c r="F58" s="16">
        <v>27</v>
      </c>
      <c r="G58" s="16">
        <f t="shared" si="1"/>
        <v>2</v>
      </c>
      <c r="H58" s="18">
        <f>'Legend &amp; Setup'!$B$1+(E58-1)*7</f>
        <v>46398</v>
      </c>
      <c r="I58" s="18">
        <f>'Legend &amp; Setup'!$B$1+F58*7-1</f>
        <v>46411</v>
      </c>
      <c r="J58" s="16" t="s">
        <v>168</v>
      </c>
      <c r="K58" s="16" t="s">
        <v>33</v>
      </c>
    </row>
    <row r="59" spans="1:11" x14ac:dyDescent="0.2">
      <c r="A59" s="16" t="s">
        <v>10</v>
      </c>
      <c r="B59" s="16" t="s">
        <v>169</v>
      </c>
      <c r="C59" s="17" t="s">
        <v>170</v>
      </c>
      <c r="D59" s="16" t="s">
        <v>13</v>
      </c>
      <c r="E59" s="16">
        <v>26</v>
      </c>
      <c r="F59" s="16">
        <v>26</v>
      </c>
      <c r="G59" s="16">
        <f t="shared" si="1"/>
        <v>1</v>
      </c>
      <c r="H59" s="18">
        <f>'Legend &amp; Setup'!$B$1+(E59-1)*7</f>
        <v>46398</v>
      </c>
      <c r="I59" s="18">
        <f>'Legend &amp; Setup'!$B$1+F59*7-1</f>
        <v>46404</v>
      </c>
      <c r="J59" s="16"/>
      <c r="K59" s="16" t="s">
        <v>33</v>
      </c>
    </row>
    <row r="60" spans="1:11" x14ac:dyDescent="0.2">
      <c r="A60" s="16" t="s">
        <v>10</v>
      </c>
      <c r="B60" s="16" t="s">
        <v>171</v>
      </c>
      <c r="C60" s="17" t="s">
        <v>172</v>
      </c>
      <c r="D60" s="16" t="s">
        <v>14</v>
      </c>
      <c r="E60" s="16">
        <v>27</v>
      </c>
      <c r="F60" s="16">
        <v>27</v>
      </c>
      <c r="G60" s="16">
        <f t="shared" si="1"/>
        <v>1</v>
      </c>
      <c r="H60" s="18">
        <f>'Legend &amp; Setup'!$B$1+(E60-1)*7</f>
        <v>46405</v>
      </c>
      <c r="I60" s="18">
        <f>'Legend &amp; Setup'!$B$1+F60*7-1</f>
        <v>46411</v>
      </c>
      <c r="J60" s="16" t="s">
        <v>67</v>
      </c>
      <c r="K60" s="16" t="s">
        <v>33</v>
      </c>
    </row>
    <row r="61" spans="1:11" x14ac:dyDescent="0.2">
      <c r="A61" s="16" t="s">
        <v>10</v>
      </c>
      <c r="B61" s="16" t="s">
        <v>173</v>
      </c>
      <c r="C61" s="17" t="s">
        <v>174</v>
      </c>
      <c r="D61" s="16" t="s">
        <v>16</v>
      </c>
      <c r="E61" s="16">
        <v>28</v>
      </c>
      <c r="F61" s="16">
        <v>28</v>
      </c>
      <c r="G61" s="16">
        <f t="shared" si="1"/>
        <v>1</v>
      </c>
      <c r="H61" s="18">
        <f>'Legend &amp; Setup'!$B$1+(E61-1)*7</f>
        <v>46412</v>
      </c>
      <c r="I61" s="18">
        <f>'Legend &amp; Setup'!$B$1+F61*7-1</f>
        <v>46418</v>
      </c>
      <c r="J61" s="16" t="s">
        <v>166</v>
      </c>
      <c r="K61" s="16" t="s">
        <v>33</v>
      </c>
    </row>
    <row r="62" spans="1:11" x14ac:dyDescent="0.2">
      <c r="A62" s="16" t="s">
        <v>10</v>
      </c>
      <c r="B62" s="16" t="s">
        <v>175</v>
      </c>
      <c r="C62" s="17" t="s">
        <v>176</v>
      </c>
      <c r="D62" s="16" t="s">
        <v>19</v>
      </c>
      <c r="E62" s="16">
        <v>29</v>
      </c>
      <c r="F62" s="16">
        <v>29</v>
      </c>
      <c r="G62" s="16">
        <f t="shared" si="1"/>
        <v>1</v>
      </c>
      <c r="H62" s="18">
        <f>'Legend &amp; Setup'!$B$1+(E62-1)*7</f>
        <v>46419</v>
      </c>
      <c r="I62" s="18">
        <f>'Legend &amp; Setup'!$B$1+F62*7-1</f>
        <v>46425</v>
      </c>
      <c r="J62" s="16" t="s">
        <v>166</v>
      </c>
      <c r="K62" s="16" t="s">
        <v>33</v>
      </c>
    </row>
    <row r="63" spans="1:11" x14ac:dyDescent="0.2">
      <c r="A63" s="16" t="s">
        <v>10</v>
      </c>
      <c r="B63" s="16" t="s">
        <v>177</v>
      </c>
      <c r="C63" s="17" t="s">
        <v>178</v>
      </c>
      <c r="D63" s="16" t="s">
        <v>13</v>
      </c>
      <c r="E63" s="16">
        <v>29</v>
      </c>
      <c r="F63" s="16">
        <v>30</v>
      </c>
      <c r="G63" s="16">
        <f t="shared" si="1"/>
        <v>2</v>
      </c>
      <c r="H63" s="18">
        <f>'Legend &amp; Setup'!$B$1+(E63-1)*7</f>
        <v>46419</v>
      </c>
      <c r="I63" s="18">
        <f>'Legend &amp; Setup'!$B$1+F63*7-1</f>
        <v>46432</v>
      </c>
      <c r="J63" s="16" t="s">
        <v>166</v>
      </c>
      <c r="K63" s="16" t="s">
        <v>33</v>
      </c>
    </row>
    <row r="64" spans="1:11" x14ac:dyDescent="0.2">
      <c r="A64" s="16" t="s">
        <v>10</v>
      </c>
      <c r="B64" s="16" t="s">
        <v>179</v>
      </c>
      <c r="C64" s="17" t="s">
        <v>180</v>
      </c>
      <c r="D64" s="16" t="s">
        <v>13</v>
      </c>
      <c r="E64" s="16">
        <v>30</v>
      </c>
      <c r="F64" s="16">
        <v>31</v>
      </c>
      <c r="G64" s="16">
        <f t="shared" si="1"/>
        <v>2</v>
      </c>
      <c r="H64" s="18">
        <f>'Legend &amp; Setup'!$B$1+(E64-1)*7</f>
        <v>46426</v>
      </c>
      <c r="I64" s="18">
        <f>'Legend &amp; Setup'!$B$1+F64*7-1</f>
        <v>46439</v>
      </c>
      <c r="J64" s="16" t="s">
        <v>181</v>
      </c>
      <c r="K64" s="16" t="s">
        <v>33</v>
      </c>
    </row>
    <row r="65" spans="1:11" x14ac:dyDescent="0.2">
      <c r="A65" s="16" t="s">
        <v>10</v>
      </c>
      <c r="B65" s="16" t="s">
        <v>182</v>
      </c>
      <c r="C65" s="17" t="s">
        <v>183</v>
      </c>
      <c r="D65" s="16" t="s">
        <v>13</v>
      </c>
      <c r="E65" s="16">
        <v>31</v>
      </c>
      <c r="F65" s="16">
        <v>31</v>
      </c>
      <c r="G65" s="16">
        <f t="shared" si="1"/>
        <v>1</v>
      </c>
      <c r="H65" s="18">
        <f>'Legend &amp; Setup'!$B$1+(E65-1)*7</f>
        <v>46433</v>
      </c>
      <c r="I65" s="18">
        <f>'Legend &amp; Setup'!$B$1+F65*7-1</f>
        <v>46439</v>
      </c>
      <c r="J65" s="16" t="s">
        <v>179</v>
      </c>
      <c r="K65" s="16" t="s">
        <v>33</v>
      </c>
    </row>
    <row r="66" spans="1:11" x14ac:dyDescent="0.2">
      <c r="A66" s="16" t="s">
        <v>11</v>
      </c>
      <c r="B66" s="16" t="s">
        <v>184</v>
      </c>
      <c r="C66" s="17" t="s">
        <v>185</v>
      </c>
      <c r="D66" s="16" t="s">
        <v>13</v>
      </c>
      <c r="E66" s="16">
        <v>31</v>
      </c>
      <c r="F66" s="16">
        <v>32</v>
      </c>
      <c r="G66" s="16">
        <f t="shared" ref="G66:G97" si="2">F66-E66+1</f>
        <v>2</v>
      </c>
      <c r="H66" s="18">
        <f>'Legend &amp; Setup'!$B$1+(E66-1)*7</f>
        <v>46433</v>
      </c>
      <c r="I66" s="18">
        <f>'Legend &amp; Setup'!$B$1+F66*7-1</f>
        <v>46446</v>
      </c>
      <c r="J66" s="16" t="s">
        <v>179</v>
      </c>
      <c r="K66" s="16" t="s">
        <v>33</v>
      </c>
    </row>
    <row r="67" spans="1:11" x14ac:dyDescent="0.2">
      <c r="A67" s="16" t="s">
        <v>11</v>
      </c>
      <c r="B67" s="16" t="s">
        <v>186</v>
      </c>
      <c r="C67" s="17" t="s">
        <v>187</v>
      </c>
      <c r="D67" s="16" t="s">
        <v>13</v>
      </c>
      <c r="E67" s="16">
        <v>32</v>
      </c>
      <c r="F67" s="16">
        <v>32</v>
      </c>
      <c r="G67" s="16">
        <f t="shared" si="2"/>
        <v>1</v>
      </c>
      <c r="H67" s="18">
        <f>'Legend &amp; Setup'!$B$1+(E67-1)*7</f>
        <v>46440</v>
      </c>
      <c r="I67" s="18">
        <f>'Legend &amp; Setup'!$B$1+F67*7-1</f>
        <v>46446</v>
      </c>
      <c r="J67" s="16" t="s">
        <v>166</v>
      </c>
      <c r="K67" s="16" t="s">
        <v>33</v>
      </c>
    </row>
    <row r="68" spans="1:11" x14ac:dyDescent="0.2">
      <c r="A68" s="16" t="s">
        <v>11</v>
      </c>
      <c r="B68" s="16" t="s">
        <v>188</v>
      </c>
      <c r="C68" s="17" t="s">
        <v>189</v>
      </c>
      <c r="D68" s="16" t="s">
        <v>13</v>
      </c>
      <c r="E68" s="16">
        <v>33</v>
      </c>
      <c r="F68" s="16">
        <v>33</v>
      </c>
      <c r="G68" s="16">
        <f t="shared" si="2"/>
        <v>1</v>
      </c>
      <c r="H68" s="18">
        <f>'Legend &amp; Setup'!$B$1+(E68-1)*7</f>
        <v>46447</v>
      </c>
      <c r="I68" s="18">
        <f>'Legend &amp; Setup'!$B$1+F68*7-1</f>
        <v>46453</v>
      </c>
      <c r="J68" s="16" t="s">
        <v>190</v>
      </c>
      <c r="K68" s="16" t="s">
        <v>33</v>
      </c>
    </row>
    <row r="69" spans="1:11" x14ac:dyDescent="0.2">
      <c r="A69" s="16" t="s">
        <v>11</v>
      </c>
      <c r="B69" s="16" t="s">
        <v>191</v>
      </c>
      <c r="C69" s="17" t="s">
        <v>192</v>
      </c>
      <c r="D69" s="16" t="s">
        <v>13</v>
      </c>
      <c r="E69" s="16">
        <v>33</v>
      </c>
      <c r="F69" s="16">
        <v>34</v>
      </c>
      <c r="G69" s="16">
        <f t="shared" si="2"/>
        <v>2</v>
      </c>
      <c r="H69" s="18">
        <f>'Legend &amp; Setup'!$B$1+(E69-1)*7</f>
        <v>46447</v>
      </c>
      <c r="I69" s="18">
        <f>'Legend &amp; Setup'!$B$1+F69*7-1</f>
        <v>46460</v>
      </c>
      <c r="J69" s="16" t="s">
        <v>186</v>
      </c>
      <c r="K69" s="16" t="s">
        <v>33</v>
      </c>
    </row>
    <row r="70" spans="1:11" x14ac:dyDescent="0.2">
      <c r="A70" s="16" t="s">
        <v>11</v>
      </c>
      <c r="B70" s="16" t="s">
        <v>193</v>
      </c>
      <c r="C70" s="17" t="s">
        <v>194</v>
      </c>
      <c r="D70" s="16" t="s">
        <v>13</v>
      </c>
      <c r="E70" s="16">
        <v>34</v>
      </c>
      <c r="F70" s="16">
        <v>34</v>
      </c>
      <c r="G70" s="16">
        <f t="shared" si="2"/>
        <v>1</v>
      </c>
      <c r="H70" s="18">
        <f>'Legend &amp; Setup'!$B$1+(E70-1)*7</f>
        <v>46454</v>
      </c>
      <c r="I70" s="18">
        <f>'Legend &amp; Setup'!$B$1+F70*7-1</f>
        <v>46460</v>
      </c>
      <c r="J70" s="16" t="s">
        <v>195</v>
      </c>
      <c r="K70" s="16" t="s">
        <v>33</v>
      </c>
    </row>
  </sheetData>
  <conditionalFormatting sqref="L2:AS9">
    <cfRule type="expression" dxfId="9" priority="2">
      <formula>AND(L$1&gt;=$E2,L$1&lt;=$F2)</formula>
    </cfRule>
  </conditionalFormatting>
  <conditionalFormatting sqref="L10:AS19">
    <cfRule type="expression" dxfId="8" priority="10">
      <formula>AND(L$1&gt;=$E10,L$1&lt;=$F10)</formula>
    </cfRule>
  </conditionalFormatting>
  <conditionalFormatting sqref="L20:AS29">
    <cfRule type="expression" dxfId="7" priority="20">
      <formula>AND(L$1&gt;=$E20,L$1&lt;=$F20)</formula>
    </cfRule>
  </conditionalFormatting>
  <conditionalFormatting sqref="L30:AS37">
    <cfRule type="expression" dxfId="6" priority="30">
      <formula>AND(L$1&gt;=$E30,L$1&lt;=$F30)</formula>
    </cfRule>
  </conditionalFormatting>
  <conditionalFormatting sqref="L38:AS44">
    <cfRule type="expression" dxfId="5" priority="38">
      <formula>AND(L$1&gt;=$E38,L$1&lt;=$F38)</formula>
    </cfRule>
  </conditionalFormatting>
  <conditionalFormatting sqref="L45:AS49">
    <cfRule type="expression" dxfId="4" priority="45">
      <formula>AND(L$1&gt;=$E45,L$1&lt;=$F45)</formula>
    </cfRule>
  </conditionalFormatting>
  <conditionalFormatting sqref="L50:AS53">
    <cfRule type="expression" dxfId="3" priority="50">
      <formula>AND(L$1&gt;=$E50,L$1&lt;=$F50)</formula>
    </cfRule>
  </conditionalFormatting>
  <conditionalFormatting sqref="L54:AS58">
    <cfRule type="expression" dxfId="2" priority="54">
      <formula>AND(L$1&gt;=$E54,L$1&lt;=$F54)</formula>
    </cfRule>
  </conditionalFormatting>
  <conditionalFormatting sqref="L59:AS65">
    <cfRule type="expression" dxfId="1" priority="59">
      <formula>AND(L$1&gt;=$E59,L$1&lt;=$F59)</formula>
    </cfRule>
  </conditionalFormatting>
  <conditionalFormatting sqref="L66:AS70">
    <cfRule type="expression" dxfId="0" priority="66">
      <formula>AND(L$1&gt;=$E66,L$1&lt;=$F66)</formula>
    </cfRule>
  </conditionalFormatting>
  <dataValidations count="1">
    <dataValidation type="list" allowBlank="1" sqref="K2:K70" xr:uid="{00000000-0002-0000-01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 &amp; Setup</vt:lpstr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Amr Mohamed Elsayed Ahmed</cp:lastModifiedBy>
  <cp:revision>0</cp:revision>
  <dcterms:created xsi:type="dcterms:W3CDTF">2026-07-15T11:31:58Z</dcterms:created>
  <dcterms:modified xsi:type="dcterms:W3CDTF">2026-07-15T11:43:30Z</dcterms:modified>
  <dc:language>en-US</dc:language>
</cp:coreProperties>
</file>